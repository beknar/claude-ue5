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ll Dro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Assumption: 5% of kills drop a spell. Edit to change per-kill odds.</t>
        </r>
      </text>
    </comment>
  </commentList>
</comments>
</file>

<file path=xl/sharedStrings.xml><?xml version="1.0" encoding="utf-8"?>
<sst xmlns="http://schemas.openxmlformats.org/spreadsheetml/2006/main" count="169" uniqueCount="92">
  <si>
    <t xml:space="preserve">Dark Fantasy ARPG – Spell Drop Table</t>
  </si>
  <si>
    <t xml:space="preserve">Chance a spell drop occurs (per kill):</t>
  </si>
  <si>
    <t xml:space="preserve">Blue cells are editable inputs. Drop Chance values were each raised 10% from the original table, so they now total 110%. Mana Rank 1 = cheapest to cast. Cooldown is seconds before the spell can be cast again (None = spammable). Blood Nova also costs health. Duration is how long the effect lasts (Life Drain's is its channel time; Undying Pact's is the window in which it can save you). Spells are listed from least to most powerful; protective spells are shaded blue.</t>
  </si>
  <si>
    <t xml:space="preserve">#</t>
  </si>
  <si>
    <t xml:space="preserve">Spell</t>
  </si>
  <si>
    <t xml:space="preserve">Type</t>
  </si>
  <si>
    <t xml:space="preserve">Effect</t>
  </si>
  <si>
    <t xml:space="preserve">Rarity</t>
  </si>
  <si>
    <t xml:space="preserve">Drop Chance</t>
  </si>
  <si>
    <t xml:space="preserve">Chance per Kill</t>
  </si>
  <si>
    <t xml:space="preserve">1 in N Kills</t>
  </si>
  <si>
    <t xml:space="preserve">Mana Cost</t>
  </si>
  <si>
    <t xml:space="preserve">Mana Rank</t>
  </si>
  <si>
    <t xml:space="preserve">Cooldown</t>
  </si>
  <si>
    <t xml:space="preserve">Duration</t>
  </si>
  <si>
    <t xml:space="preserve">Fire Bolt</t>
  </si>
  <si>
    <t xml:space="preserve">Offense</t>
  </si>
  <si>
    <t xml:space="preserve">Fast single fire projectile</t>
  </si>
  <si>
    <t xml:space="preserve">Common</t>
  </si>
  <si>
    <t xml:space="preserve">Instant</t>
  </si>
  <si>
    <t xml:space="preserve">Dark Fire</t>
  </si>
  <si>
    <t xml:space="preserve">Black flames that burn and drain life over time</t>
  </si>
  <si>
    <t xml:space="preserve">Ash Ward</t>
  </si>
  <si>
    <t xml:space="preserve">Protection</t>
  </si>
  <si>
    <t xml:space="preserve">Small barrier that absorbs a few hits</t>
  </si>
  <si>
    <t xml:space="preserve">Frost Shard</t>
  </si>
  <si>
    <t xml:space="preserve">Piercing ice projectile that slows</t>
  </si>
  <si>
    <t xml:space="preserve">Shadow Lash</t>
  </si>
  <si>
    <t xml:space="preserve">Whip of darkness that strikes an arc and knocks back</t>
  </si>
  <si>
    <t xml:space="preserve">Uncommon</t>
  </si>
  <si>
    <t xml:space="preserve">Iron Skin</t>
  </si>
  <si>
    <t xml:space="preserve">Hardens flesh for a large armor bonus</t>
  </si>
  <si>
    <t xml:space="preserve">Bone Spear</t>
  </si>
  <si>
    <t xml:space="preserve">Bone spear that pierces a line of enemies</t>
  </si>
  <si>
    <t xml:space="preserve">Dispel Hex</t>
  </si>
  <si>
    <t xml:space="preserve">Cleanses curses, poisons and other debuffs</t>
  </si>
  <si>
    <t xml:space="preserve">Life Drain</t>
  </si>
  <si>
    <t xml:space="preserve">Channeled beam that steals health</t>
  </si>
  <si>
    <t xml:space="preserve">Chain Lightning</t>
  </si>
  <si>
    <t xml:space="preserve">Lightning that jumps between enemies</t>
  </si>
  <si>
    <t xml:space="preserve">Rare</t>
  </si>
  <si>
    <t xml:space="preserve">Bone Armor</t>
  </si>
  <si>
    <t xml:space="preserve">Orbiting bones that each absorb one hit</t>
  </si>
  <si>
    <t xml:space="preserve">Plague Cloud</t>
  </si>
  <si>
    <t xml:space="preserve">Lingering toxic mist that poisons an area</t>
  </si>
  <si>
    <t xml:space="preserve">Shadow Veil</t>
  </si>
  <si>
    <t xml:space="preserve">Brief invisibility and high evasion</t>
  </si>
  <si>
    <t xml:space="preserve">Curse of Frailty</t>
  </si>
  <si>
    <t xml:space="preserve">Curse</t>
  </si>
  <si>
    <t xml:space="preserve">Enemies in an area take more damage and hit weaker</t>
  </si>
  <si>
    <t xml:space="preserve">Fireball</t>
  </si>
  <si>
    <t xml:space="preserve">Exploding sphere of heavy area fire damage</t>
  </si>
  <si>
    <t xml:space="preserve">Raise Dead</t>
  </si>
  <si>
    <t xml:space="preserve">Summon</t>
  </si>
  <si>
    <t xml:space="preserve">Reanimates fallen enemies as temporary minions</t>
  </si>
  <si>
    <t xml:space="preserve">Epic</t>
  </si>
  <si>
    <t xml:space="preserve">Rune of Warding</t>
  </si>
  <si>
    <t xml:space="preserve">Glyph on the ground that cuts damage taken by allies inside it</t>
  </si>
  <si>
    <t xml:space="preserve">Blood Nova</t>
  </si>
  <si>
    <t xml:space="preserve">Spends your health to release a ring of blood magic</t>
  </si>
  <si>
    <t xml:space="preserve">Mirror of Retribution</t>
  </si>
  <si>
    <t xml:space="preserve">Reflects projectiles and spells back at attackers</t>
  </si>
  <si>
    <t xml:space="preserve">Soul Rend</t>
  </si>
  <si>
    <t xml:space="preserve">Spirit damage that ignores armor</t>
  </si>
  <si>
    <t xml:space="preserve">Blizzard</t>
  </si>
  <si>
    <t xml:space="preserve">Sustained ice storm over a wide area</t>
  </si>
  <si>
    <t xml:space="preserve">Corpse Explosion</t>
  </si>
  <si>
    <t xml:space="preserve">Detonates corpses for massive area damage</t>
  </si>
  <si>
    <t xml:space="preserve">Legendary</t>
  </si>
  <si>
    <t xml:space="preserve">Spectral Bulwark</t>
  </si>
  <si>
    <t xml:space="preserve">Huge shield that absorbs damage for the whole party</t>
  </si>
  <si>
    <t xml:space="preserve">Hellfire Pillar</t>
  </si>
  <si>
    <t xml:space="preserve">Column of infernal flame that leaves burning ground</t>
  </si>
  <si>
    <t xml:space="preserve">Void Rift</t>
  </si>
  <si>
    <t xml:space="preserve">Tear in reality that pulls enemies in and crushes them</t>
  </si>
  <si>
    <t xml:space="preserve">Undying Pact</t>
  </si>
  <si>
    <t xml:space="preserve">Cheats death once, reviving you at partial health</t>
  </si>
  <si>
    <t xml:space="preserve">Summon Abyssal Knight</t>
  </si>
  <si>
    <t xml:space="preserve">Permanent demonic or undead champion</t>
  </si>
  <si>
    <t xml:space="preserve">Permanent</t>
  </si>
  <si>
    <t xml:space="preserve">Meteor Storm</t>
  </si>
  <si>
    <t xml:space="preserve">Burning meteors rain across the battlefield</t>
  </si>
  <si>
    <t xml:space="preserve">Mythic</t>
  </si>
  <si>
    <t xml:space="preserve">Null Sanctum</t>
  </si>
  <si>
    <t xml:space="preserve">Zone where allies are briefly immune to all damage</t>
  </si>
  <si>
    <t xml:space="preserve">Apocalypse / Eclipse of Ruin</t>
  </si>
  <si>
    <t xml:space="preserve">Ultimate that devastates every enemy on screen</t>
  </si>
  <si>
    <t xml:space="preserve">Total</t>
  </si>
  <si>
    <t xml:space="preserve">Totals by Rarity</t>
  </si>
  <si>
    <t xml:space="preserve">Spells</t>
  </si>
  <si>
    <t xml:space="preserve">Share of Drops</t>
  </si>
  <si>
    <t xml:space="preserve">Totals by Type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</si>
</sst>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000%"/>
    <numFmt numFmtId="167" formatCode="#,##0"/>
    <numFmt numFmtId="168" formatCode="0"/>
    <numFmt numFmtId="169" formatCode="0&quot; s&quot;;;&quot;None&quot;"/>
    <numFmt numFmtId="170" formatCode="0&quot; s&quot;"/>
    <numFmt numFmtId="171" formatCode="0.000%"/>
    <numFmt numFmtId="172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2F3A"/>
        <bgColor rgb="FF333300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BDD7EE"/>
        <bgColor rgb="FFC6EFCE"/>
      </patternFill>
    </fill>
    <fill>
      <patternFill patternType="solid">
        <fgColor rgb="FFD9C2E9"/>
        <bgColor rgb="FFBFBFBF"/>
      </patternFill>
    </fill>
    <fill>
      <patternFill patternType="solid">
        <fgColor rgb="FFF8CBAD"/>
        <bgColor rgb="FFFFD966"/>
      </patternFill>
    </fill>
    <fill>
      <patternFill patternType="solid">
        <fgColor rgb="FFFFD96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C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2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F2" s="3" t="n">
        <v>0.05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customFormat="false" ht="15" hidden="false" customHeight="false" outlineLevel="0" collapsed="false">
      <c r="A6" s="6" t="n">
        <v>1</v>
      </c>
      <c r="B6" s="7" t="s">
        <v>15</v>
      </c>
      <c r="C6" s="6" t="s">
        <v>16</v>
      </c>
      <c r="D6" s="7" t="s">
        <v>17</v>
      </c>
      <c r="E6" s="8" t="s">
        <v>18</v>
      </c>
      <c r="F6" s="9" t="n">
        <v>0.1375</v>
      </c>
      <c r="G6" s="10" t="n">
        <f aca="false">F6*$F$2</f>
        <v>0.006875</v>
      </c>
      <c r="H6" s="11" t="n">
        <f aca="false">IFERROR(1/G6,"-")</f>
        <v>145.454545454545</v>
      </c>
      <c r="I6" s="12" t="n">
        <v>7</v>
      </c>
      <c r="J6" s="6" t="n">
        <f aca="false">RANK(I6,$I$6:$I$35,1)</f>
        <v>1</v>
      </c>
      <c r="K6" s="13" t="n">
        <v>0</v>
      </c>
      <c r="L6" s="14" t="s">
        <v>19</v>
      </c>
    </row>
    <row r="7" customFormat="false" ht="15" hidden="false" customHeight="false" outlineLevel="0" collapsed="false">
      <c r="A7" s="6" t="n">
        <v>2</v>
      </c>
      <c r="B7" s="7" t="s">
        <v>20</v>
      </c>
      <c r="C7" s="6" t="s">
        <v>16</v>
      </c>
      <c r="D7" s="7" t="s">
        <v>21</v>
      </c>
      <c r="E7" s="8" t="s">
        <v>18</v>
      </c>
      <c r="F7" s="9" t="n">
        <v>0.1265</v>
      </c>
      <c r="G7" s="10" t="n">
        <f aca="false">F7*$F$2</f>
        <v>0.006325</v>
      </c>
      <c r="H7" s="11" t="n">
        <f aca="false">IFERROR(1/G7,"-")</f>
        <v>158.102766798419</v>
      </c>
      <c r="I7" s="12" t="n">
        <v>12</v>
      </c>
      <c r="J7" s="6" t="n">
        <f aca="false">RANK(I7,$I$6:$I$35,1)</f>
        <v>2</v>
      </c>
      <c r="K7" s="13" t="n">
        <v>0</v>
      </c>
      <c r="L7" s="15" t="n">
        <v>4</v>
      </c>
    </row>
    <row r="8" customFormat="false" ht="15" hidden="false" customHeight="false" outlineLevel="0" collapsed="false">
      <c r="A8" s="16" t="n">
        <v>3</v>
      </c>
      <c r="B8" s="17" t="s">
        <v>22</v>
      </c>
      <c r="C8" s="16" t="s">
        <v>23</v>
      </c>
      <c r="D8" s="17" t="s">
        <v>24</v>
      </c>
      <c r="E8" s="8" t="s">
        <v>18</v>
      </c>
      <c r="F8" s="9" t="n">
        <v>0.121</v>
      </c>
      <c r="G8" s="10" t="n">
        <f aca="false">F8*$F$2</f>
        <v>0.00605</v>
      </c>
      <c r="H8" s="11" t="n">
        <f aca="false">IFERROR(1/G8,"-")</f>
        <v>165.289256198347</v>
      </c>
      <c r="I8" s="12" t="n">
        <v>15</v>
      </c>
      <c r="J8" s="6" t="n">
        <f aca="false">RANK(I8,$I$6:$I$35,1)</f>
        <v>4</v>
      </c>
      <c r="K8" s="13" t="n">
        <v>10</v>
      </c>
      <c r="L8" s="15" t="n">
        <v>8</v>
      </c>
    </row>
    <row r="9" customFormat="false" ht="15" hidden="false" customHeight="false" outlineLevel="0" collapsed="false">
      <c r="A9" s="6" t="n">
        <v>4</v>
      </c>
      <c r="B9" s="7" t="s">
        <v>25</v>
      </c>
      <c r="C9" s="6" t="s">
        <v>16</v>
      </c>
      <c r="D9" s="7" t="s">
        <v>26</v>
      </c>
      <c r="E9" s="8" t="s">
        <v>18</v>
      </c>
      <c r="F9" s="9" t="n">
        <v>0.11</v>
      </c>
      <c r="G9" s="10" t="n">
        <f aca="false">F9*$F$2</f>
        <v>0.0055</v>
      </c>
      <c r="H9" s="11" t="n">
        <f aca="false">IFERROR(1/G9,"-")</f>
        <v>181.818181818182</v>
      </c>
      <c r="I9" s="12" t="n">
        <v>14</v>
      </c>
      <c r="J9" s="6" t="n">
        <f aca="false">RANK(I9,$I$6:$I$35,1)</f>
        <v>3</v>
      </c>
      <c r="K9" s="13" t="n">
        <v>0</v>
      </c>
      <c r="L9" s="15" t="n">
        <v>2</v>
      </c>
    </row>
    <row r="10" customFormat="false" ht="15" hidden="false" customHeight="false" outlineLevel="0" collapsed="false">
      <c r="A10" s="6" t="n">
        <v>5</v>
      </c>
      <c r="B10" s="7" t="s">
        <v>27</v>
      </c>
      <c r="C10" s="6" t="s">
        <v>16</v>
      </c>
      <c r="D10" s="7" t="s">
        <v>28</v>
      </c>
      <c r="E10" s="18" t="s">
        <v>29</v>
      </c>
      <c r="F10" s="9" t="n">
        <v>0.066</v>
      </c>
      <c r="G10" s="10" t="n">
        <f aca="false">F10*$F$2</f>
        <v>0.0033</v>
      </c>
      <c r="H10" s="11" t="n">
        <f aca="false">IFERROR(1/G10,"-")</f>
        <v>303.030303030303</v>
      </c>
      <c r="I10" s="12" t="n">
        <v>18</v>
      </c>
      <c r="J10" s="6" t="n">
        <f aca="false">RANK(I10,$I$6:$I$35,1)</f>
        <v>5</v>
      </c>
      <c r="K10" s="13" t="n">
        <v>2</v>
      </c>
      <c r="L10" s="14" t="s">
        <v>19</v>
      </c>
    </row>
    <row r="11" customFormat="false" ht="15" hidden="false" customHeight="false" outlineLevel="0" collapsed="false">
      <c r="A11" s="16" t="n">
        <v>6</v>
      </c>
      <c r="B11" s="17" t="s">
        <v>30</v>
      </c>
      <c r="C11" s="16" t="s">
        <v>23</v>
      </c>
      <c r="D11" s="17" t="s">
        <v>31</v>
      </c>
      <c r="E11" s="18" t="s">
        <v>29</v>
      </c>
      <c r="F11" s="9" t="n">
        <v>0.06325</v>
      </c>
      <c r="G11" s="10" t="n">
        <f aca="false">F11*$F$2</f>
        <v>0.0031625</v>
      </c>
      <c r="H11" s="11" t="n">
        <f aca="false">IFERROR(1/G11,"-")</f>
        <v>316.205533596838</v>
      </c>
      <c r="I11" s="12" t="n">
        <v>22</v>
      </c>
      <c r="J11" s="6" t="n">
        <f aca="false">RANK(I11,$I$6:$I$35,1)</f>
        <v>7</v>
      </c>
      <c r="K11" s="13" t="n">
        <v>15</v>
      </c>
      <c r="L11" s="15" t="n">
        <v>12</v>
      </c>
    </row>
    <row r="12" customFormat="false" ht="15" hidden="false" customHeight="false" outlineLevel="0" collapsed="false">
      <c r="A12" s="6" t="n">
        <v>7</v>
      </c>
      <c r="B12" s="7" t="s">
        <v>32</v>
      </c>
      <c r="C12" s="6" t="s">
        <v>16</v>
      </c>
      <c r="D12" s="7" t="s">
        <v>33</v>
      </c>
      <c r="E12" s="18" t="s">
        <v>29</v>
      </c>
      <c r="F12" s="9" t="n">
        <v>0.05775</v>
      </c>
      <c r="G12" s="10" t="n">
        <f aca="false">F12*$F$2</f>
        <v>0.0028875</v>
      </c>
      <c r="H12" s="11" t="n">
        <f aca="false">IFERROR(1/G12,"-")</f>
        <v>346.320346320346</v>
      </c>
      <c r="I12" s="12" t="n">
        <v>20</v>
      </c>
      <c r="J12" s="6" t="n">
        <f aca="false">RANK(I12,$I$6:$I$35,1)</f>
        <v>6</v>
      </c>
      <c r="K12" s="13" t="n">
        <v>0</v>
      </c>
      <c r="L12" s="14" t="s">
        <v>19</v>
      </c>
    </row>
    <row r="13" customFormat="false" ht="15" hidden="false" customHeight="false" outlineLevel="0" collapsed="false">
      <c r="A13" s="16" t="n">
        <v>8</v>
      </c>
      <c r="B13" s="17" t="s">
        <v>34</v>
      </c>
      <c r="C13" s="16" t="s">
        <v>23</v>
      </c>
      <c r="D13" s="17" t="s">
        <v>35</v>
      </c>
      <c r="E13" s="18" t="s">
        <v>29</v>
      </c>
      <c r="F13" s="9" t="n">
        <v>0.055</v>
      </c>
      <c r="G13" s="10" t="n">
        <f aca="false">F13*$F$2</f>
        <v>0.00275</v>
      </c>
      <c r="H13" s="11" t="n">
        <f aca="false">IFERROR(1/G13,"-")</f>
        <v>363.636363636364</v>
      </c>
      <c r="I13" s="12" t="n">
        <v>25</v>
      </c>
      <c r="J13" s="6" t="n">
        <f aca="false">RANK(I13,$I$6:$I$35,1)</f>
        <v>9</v>
      </c>
      <c r="K13" s="13" t="n">
        <v>12</v>
      </c>
      <c r="L13" s="14" t="s">
        <v>19</v>
      </c>
    </row>
    <row r="14" customFormat="false" ht="15" hidden="false" customHeight="false" outlineLevel="0" collapsed="false">
      <c r="A14" s="6" t="n">
        <v>9</v>
      </c>
      <c r="B14" s="7" t="s">
        <v>36</v>
      </c>
      <c r="C14" s="6" t="s">
        <v>16</v>
      </c>
      <c r="D14" s="7" t="s">
        <v>37</v>
      </c>
      <c r="E14" s="18" t="s">
        <v>29</v>
      </c>
      <c r="F14" s="9" t="n">
        <v>0.055</v>
      </c>
      <c r="G14" s="10" t="n">
        <f aca="false">F14*$F$2</f>
        <v>0.00275</v>
      </c>
      <c r="H14" s="11" t="n">
        <f aca="false">IFERROR(1/G14,"-")</f>
        <v>363.636363636364</v>
      </c>
      <c r="I14" s="12" t="n">
        <v>24</v>
      </c>
      <c r="J14" s="6" t="n">
        <f aca="false">RANK(I14,$I$6:$I$35,1)</f>
        <v>8</v>
      </c>
      <c r="K14" s="13" t="n">
        <v>3</v>
      </c>
      <c r="L14" s="15" t="n">
        <v>3</v>
      </c>
    </row>
    <row r="15" customFormat="false" ht="15" hidden="false" customHeight="false" outlineLevel="0" collapsed="false">
      <c r="A15" s="6" t="n">
        <v>10</v>
      </c>
      <c r="B15" s="7" t="s">
        <v>38</v>
      </c>
      <c r="C15" s="6" t="s">
        <v>16</v>
      </c>
      <c r="D15" s="7" t="s">
        <v>39</v>
      </c>
      <c r="E15" s="19" t="s">
        <v>40</v>
      </c>
      <c r="F15" s="9" t="n">
        <v>0.033</v>
      </c>
      <c r="G15" s="10" t="n">
        <f aca="false">F15*$F$2</f>
        <v>0.00165</v>
      </c>
      <c r="H15" s="11" t="n">
        <f aca="false">IFERROR(1/G15,"-")</f>
        <v>606.060606060606</v>
      </c>
      <c r="I15" s="12" t="n">
        <v>30</v>
      </c>
      <c r="J15" s="6" t="n">
        <f aca="false">RANK(I15,$I$6:$I$35,1)</f>
        <v>11</v>
      </c>
      <c r="K15" s="13" t="n">
        <v>0</v>
      </c>
      <c r="L15" s="14" t="s">
        <v>19</v>
      </c>
    </row>
    <row r="16" customFormat="false" ht="15" hidden="false" customHeight="false" outlineLevel="0" collapsed="false">
      <c r="A16" s="16" t="n">
        <v>11</v>
      </c>
      <c r="B16" s="17" t="s">
        <v>41</v>
      </c>
      <c r="C16" s="16" t="s">
        <v>23</v>
      </c>
      <c r="D16" s="17" t="s">
        <v>42</v>
      </c>
      <c r="E16" s="19" t="s">
        <v>40</v>
      </c>
      <c r="F16" s="9" t="n">
        <v>0.03025</v>
      </c>
      <c r="G16" s="10" t="n">
        <f aca="false">F16*$F$2</f>
        <v>0.0015125</v>
      </c>
      <c r="H16" s="11" t="n">
        <f aca="false">IFERROR(1/G16,"-")</f>
        <v>661.157024793389</v>
      </c>
      <c r="I16" s="12" t="n">
        <v>35</v>
      </c>
      <c r="J16" s="6" t="n">
        <f aca="false">RANK(I16,$I$6:$I$35,1)</f>
        <v>12</v>
      </c>
      <c r="K16" s="13" t="n">
        <v>20</v>
      </c>
      <c r="L16" s="15" t="n">
        <v>15</v>
      </c>
    </row>
    <row r="17" customFormat="false" ht="15" hidden="false" customHeight="false" outlineLevel="0" collapsed="false">
      <c r="A17" s="6" t="n">
        <v>12</v>
      </c>
      <c r="B17" s="7" t="s">
        <v>43</v>
      </c>
      <c r="C17" s="6" t="s">
        <v>16</v>
      </c>
      <c r="D17" s="7" t="s">
        <v>44</v>
      </c>
      <c r="E17" s="19" t="s">
        <v>40</v>
      </c>
      <c r="F17" s="9" t="n">
        <v>0.03025</v>
      </c>
      <c r="G17" s="10" t="n">
        <f aca="false">F17*$F$2</f>
        <v>0.0015125</v>
      </c>
      <c r="H17" s="11" t="n">
        <f aca="false">IFERROR(1/G17,"-")</f>
        <v>661.157024793389</v>
      </c>
      <c r="I17" s="12" t="n">
        <v>38</v>
      </c>
      <c r="J17" s="6" t="n">
        <f aca="false">RANK(I17,$I$6:$I$35,1)</f>
        <v>13</v>
      </c>
      <c r="K17" s="13" t="n">
        <v>6</v>
      </c>
      <c r="L17" s="15" t="n">
        <v>6</v>
      </c>
    </row>
    <row r="18" customFormat="false" ht="15" hidden="false" customHeight="false" outlineLevel="0" collapsed="false">
      <c r="A18" s="16" t="n">
        <v>13</v>
      </c>
      <c r="B18" s="17" t="s">
        <v>45</v>
      </c>
      <c r="C18" s="16" t="s">
        <v>23</v>
      </c>
      <c r="D18" s="17" t="s">
        <v>46</v>
      </c>
      <c r="E18" s="19" t="s">
        <v>40</v>
      </c>
      <c r="F18" s="9" t="n">
        <v>0.0275</v>
      </c>
      <c r="G18" s="10" t="n">
        <f aca="false">F18*$F$2</f>
        <v>0.001375</v>
      </c>
      <c r="H18" s="11" t="n">
        <f aca="false">IFERROR(1/G18,"-")</f>
        <v>727.272727272727</v>
      </c>
      <c r="I18" s="12" t="n">
        <v>40</v>
      </c>
      <c r="J18" s="6" t="n">
        <f aca="false">RANK(I18,$I$6:$I$35,1)</f>
        <v>14</v>
      </c>
      <c r="K18" s="13" t="n">
        <v>25</v>
      </c>
      <c r="L18" s="15" t="n">
        <v>4</v>
      </c>
    </row>
    <row r="19" customFormat="false" ht="15" hidden="false" customHeight="false" outlineLevel="0" collapsed="false">
      <c r="A19" s="6" t="n">
        <v>14</v>
      </c>
      <c r="B19" s="7" t="s">
        <v>47</v>
      </c>
      <c r="C19" s="6" t="s">
        <v>48</v>
      </c>
      <c r="D19" s="7" t="s">
        <v>49</v>
      </c>
      <c r="E19" s="19" t="s">
        <v>40</v>
      </c>
      <c r="F19" s="9" t="n">
        <v>0.0275</v>
      </c>
      <c r="G19" s="10" t="n">
        <f aca="false">F19*$F$2</f>
        <v>0.001375</v>
      </c>
      <c r="H19" s="11" t="n">
        <f aca="false">IFERROR(1/G19,"-")</f>
        <v>727.272727272727</v>
      </c>
      <c r="I19" s="12" t="n">
        <v>42</v>
      </c>
      <c r="J19" s="6" t="n">
        <f aca="false">RANK(I19,$I$6:$I$35,1)</f>
        <v>15</v>
      </c>
      <c r="K19" s="13" t="n">
        <v>10</v>
      </c>
      <c r="L19" s="15" t="n">
        <v>8</v>
      </c>
    </row>
    <row r="20" customFormat="false" ht="15" hidden="false" customHeight="false" outlineLevel="0" collapsed="false">
      <c r="A20" s="6" t="n">
        <v>15</v>
      </c>
      <c r="B20" s="7" t="s">
        <v>50</v>
      </c>
      <c r="C20" s="6" t="s">
        <v>16</v>
      </c>
      <c r="D20" s="7" t="s">
        <v>51</v>
      </c>
      <c r="E20" s="19" t="s">
        <v>40</v>
      </c>
      <c r="F20" s="9" t="n">
        <v>0.0275</v>
      </c>
      <c r="G20" s="10" t="n">
        <f aca="false">F20*$F$2</f>
        <v>0.001375</v>
      </c>
      <c r="H20" s="11" t="n">
        <f aca="false">IFERROR(1/G20,"-")</f>
        <v>727.272727272727</v>
      </c>
      <c r="I20" s="12" t="n">
        <v>45</v>
      </c>
      <c r="J20" s="6" t="n">
        <f aca="false">RANK(I20,$I$6:$I$35,1)</f>
        <v>16</v>
      </c>
      <c r="K20" s="13" t="n">
        <v>4</v>
      </c>
      <c r="L20" s="14" t="s">
        <v>19</v>
      </c>
    </row>
    <row r="21" customFormat="false" ht="15" hidden="false" customHeight="false" outlineLevel="0" collapsed="false">
      <c r="A21" s="6" t="n">
        <v>16</v>
      </c>
      <c r="B21" s="7" t="s">
        <v>52</v>
      </c>
      <c r="C21" s="6" t="s">
        <v>53</v>
      </c>
      <c r="D21" s="7" t="s">
        <v>54</v>
      </c>
      <c r="E21" s="20" t="s">
        <v>55</v>
      </c>
      <c r="F21" s="9" t="n">
        <v>0.0176</v>
      </c>
      <c r="G21" s="10" t="n">
        <f aca="false">F21*$F$2</f>
        <v>0.00088</v>
      </c>
      <c r="H21" s="11" t="n">
        <f aca="false">IFERROR(1/G21,"-")</f>
        <v>1136.36363636364</v>
      </c>
      <c r="I21" s="12" t="n">
        <v>55</v>
      </c>
      <c r="J21" s="6" t="n">
        <f aca="false">RANK(I21,$I$6:$I$35,1)</f>
        <v>17</v>
      </c>
      <c r="K21" s="13" t="n">
        <v>20</v>
      </c>
      <c r="L21" s="15" t="n">
        <v>30</v>
      </c>
    </row>
    <row r="22" customFormat="false" ht="15" hidden="false" customHeight="false" outlineLevel="0" collapsed="false">
      <c r="A22" s="16" t="n">
        <v>17</v>
      </c>
      <c r="B22" s="17" t="s">
        <v>56</v>
      </c>
      <c r="C22" s="16" t="s">
        <v>23</v>
      </c>
      <c r="D22" s="17" t="s">
        <v>57</v>
      </c>
      <c r="E22" s="20" t="s">
        <v>55</v>
      </c>
      <c r="F22" s="9" t="n">
        <v>0.0154</v>
      </c>
      <c r="G22" s="10" t="n">
        <f aca="false">F22*$F$2</f>
        <v>0.00077</v>
      </c>
      <c r="H22" s="11" t="n">
        <f aca="false">IFERROR(1/G22,"-")</f>
        <v>1298.7012987013</v>
      </c>
      <c r="I22" s="12" t="n">
        <v>60</v>
      </c>
      <c r="J22" s="6" t="n">
        <f aca="false">RANK(I22,$I$6:$I$35,1)</f>
        <v>18</v>
      </c>
      <c r="K22" s="13" t="n">
        <v>30</v>
      </c>
      <c r="L22" s="15" t="n">
        <v>10</v>
      </c>
    </row>
    <row r="23" customFormat="false" ht="15" hidden="false" customHeight="false" outlineLevel="0" collapsed="false">
      <c r="A23" s="6" t="n">
        <v>18</v>
      </c>
      <c r="B23" s="7" t="s">
        <v>58</v>
      </c>
      <c r="C23" s="6" t="s">
        <v>16</v>
      </c>
      <c r="D23" s="7" t="s">
        <v>59</v>
      </c>
      <c r="E23" s="20" t="s">
        <v>55</v>
      </c>
      <c r="F23" s="9" t="n">
        <v>0.0143</v>
      </c>
      <c r="G23" s="10" t="n">
        <f aca="false">F23*$F$2</f>
        <v>0.000715</v>
      </c>
      <c r="H23" s="11" t="n">
        <f aca="false">IFERROR(1/G23,"-")</f>
        <v>1398.6013986014</v>
      </c>
      <c r="I23" s="12" t="n">
        <v>28</v>
      </c>
      <c r="J23" s="6" t="n">
        <f aca="false">RANK(I23,$I$6:$I$35,1)</f>
        <v>10</v>
      </c>
      <c r="K23" s="13" t="n">
        <v>8</v>
      </c>
      <c r="L23" s="14" t="s">
        <v>19</v>
      </c>
    </row>
    <row r="24" customFormat="false" ht="15" hidden="false" customHeight="false" outlineLevel="0" collapsed="false">
      <c r="A24" s="16" t="n">
        <v>19</v>
      </c>
      <c r="B24" s="17" t="s">
        <v>60</v>
      </c>
      <c r="C24" s="16" t="s">
        <v>23</v>
      </c>
      <c r="D24" s="17" t="s">
        <v>61</v>
      </c>
      <c r="E24" s="20" t="s">
        <v>55</v>
      </c>
      <c r="F24" s="9" t="n">
        <v>0.0143</v>
      </c>
      <c r="G24" s="10" t="n">
        <f aca="false">F24*$F$2</f>
        <v>0.000715</v>
      </c>
      <c r="H24" s="11" t="n">
        <f aca="false">IFERROR(1/G24,"-")</f>
        <v>1398.6013986014</v>
      </c>
      <c r="I24" s="12" t="n">
        <v>70</v>
      </c>
      <c r="J24" s="6" t="n">
        <f aca="false">RANK(I24,$I$6:$I$35,1)</f>
        <v>20</v>
      </c>
      <c r="K24" s="13" t="n">
        <v>35</v>
      </c>
      <c r="L24" s="15" t="n">
        <v>5</v>
      </c>
    </row>
    <row r="25" customFormat="false" ht="15" hidden="false" customHeight="false" outlineLevel="0" collapsed="false">
      <c r="A25" s="6" t="n">
        <v>20</v>
      </c>
      <c r="B25" s="7" t="s">
        <v>62</v>
      </c>
      <c r="C25" s="6" t="s">
        <v>16</v>
      </c>
      <c r="D25" s="7" t="s">
        <v>63</v>
      </c>
      <c r="E25" s="20" t="s">
        <v>55</v>
      </c>
      <c r="F25" s="9" t="n">
        <v>0.0132</v>
      </c>
      <c r="G25" s="10" t="n">
        <f aca="false">F25*$F$2</f>
        <v>0.00066</v>
      </c>
      <c r="H25" s="11" t="n">
        <f aca="false">IFERROR(1/G25,"-")</f>
        <v>1515.15151515152</v>
      </c>
      <c r="I25" s="12" t="n">
        <v>65</v>
      </c>
      <c r="J25" s="6" t="n">
        <f aca="false">RANK(I25,$I$6:$I$35,1)</f>
        <v>19</v>
      </c>
      <c r="K25" s="13" t="n">
        <v>6</v>
      </c>
      <c r="L25" s="14" t="s">
        <v>19</v>
      </c>
    </row>
    <row r="26" customFormat="false" ht="15" hidden="false" customHeight="false" outlineLevel="0" collapsed="false">
      <c r="A26" s="6" t="n">
        <v>21</v>
      </c>
      <c r="B26" s="7" t="s">
        <v>64</v>
      </c>
      <c r="C26" s="6" t="s">
        <v>16</v>
      </c>
      <c r="D26" s="7" t="s">
        <v>65</v>
      </c>
      <c r="E26" s="20" t="s">
        <v>55</v>
      </c>
      <c r="F26" s="9" t="n">
        <v>0.0132</v>
      </c>
      <c r="G26" s="10" t="n">
        <f aca="false">F26*$F$2</f>
        <v>0.00066</v>
      </c>
      <c r="H26" s="11" t="n">
        <f aca="false">IFERROR(1/G26,"-")</f>
        <v>1515.15151515152</v>
      </c>
      <c r="I26" s="12" t="n">
        <v>80</v>
      </c>
      <c r="J26" s="6" t="n">
        <f aca="false">RANK(I26,$I$6:$I$35,1)</f>
        <v>22</v>
      </c>
      <c r="K26" s="13" t="n">
        <v>12</v>
      </c>
      <c r="L26" s="15" t="n">
        <v>8</v>
      </c>
    </row>
    <row r="27" customFormat="false" ht="15" hidden="false" customHeight="false" outlineLevel="0" collapsed="false">
      <c r="A27" s="6" t="n">
        <v>22</v>
      </c>
      <c r="B27" s="7" t="s">
        <v>66</v>
      </c>
      <c r="C27" s="6" t="s">
        <v>16</v>
      </c>
      <c r="D27" s="7" t="s">
        <v>67</v>
      </c>
      <c r="E27" s="21" t="s">
        <v>68</v>
      </c>
      <c r="F27" s="9" t="n">
        <v>0.0066</v>
      </c>
      <c r="G27" s="10" t="n">
        <f aca="false">F27*$F$2</f>
        <v>0.00033</v>
      </c>
      <c r="H27" s="11" t="n">
        <f aca="false">IFERROR(1/G27,"-")</f>
        <v>3030.30303030303</v>
      </c>
      <c r="I27" s="12" t="n">
        <v>75</v>
      </c>
      <c r="J27" s="6" t="n">
        <f aca="false">RANK(I27,$I$6:$I$35,1)</f>
        <v>21</v>
      </c>
      <c r="K27" s="13" t="n">
        <v>3</v>
      </c>
      <c r="L27" s="14" t="s">
        <v>19</v>
      </c>
    </row>
    <row r="28" customFormat="false" ht="15" hidden="false" customHeight="false" outlineLevel="0" collapsed="false">
      <c r="A28" s="16" t="n">
        <v>23</v>
      </c>
      <c r="B28" s="17" t="s">
        <v>69</v>
      </c>
      <c r="C28" s="16" t="s">
        <v>23</v>
      </c>
      <c r="D28" s="17" t="s">
        <v>70</v>
      </c>
      <c r="E28" s="21" t="s">
        <v>68</v>
      </c>
      <c r="F28" s="9" t="n">
        <v>0.00715</v>
      </c>
      <c r="G28" s="10" t="n">
        <f aca="false">F28*$F$2</f>
        <v>0.0003575</v>
      </c>
      <c r="H28" s="11" t="n">
        <f aca="false">IFERROR(1/G28,"-")</f>
        <v>2797.2027972028</v>
      </c>
      <c r="I28" s="12" t="n">
        <v>100</v>
      </c>
      <c r="J28" s="6" t="n">
        <f aca="false">RANK(I28,$I$6:$I$35,1)</f>
        <v>23</v>
      </c>
      <c r="K28" s="13" t="n">
        <v>60</v>
      </c>
      <c r="L28" s="15" t="n">
        <v>10</v>
      </c>
    </row>
    <row r="29" customFormat="false" ht="15" hidden="false" customHeight="false" outlineLevel="0" collapsed="false">
      <c r="A29" s="6" t="n">
        <v>24</v>
      </c>
      <c r="B29" s="7" t="s">
        <v>71</v>
      </c>
      <c r="C29" s="6" t="s">
        <v>16</v>
      </c>
      <c r="D29" s="7" t="s">
        <v>72</v>
      </c>
      <c r="E29" s="21" t="s">
        <v>68</v>
      </c>
      <c r="F29" s="9" t="n">
        <v>0.00715</v>
      </c>
      <c r="G29" s="10" t="n">
        <f aca="false">F29*$F$2</f>
        <v>0.0003575</v>
      </c>
      <c r="H29" s="11" t="n">
        <f aca="false">IFERROR(1/G29,"-")</f>
        <v>2797.2027972028</v>
      </c>
      <c r="I29" s="12" t="n">
        <v>110</v>
      </c>
      <c r="J29" s="6" t="n">
        <f aca="false">RANK(I29,$I$6:$I$35,1)</f>
        <v>24</v>
      </c>
      <c r="K29" s="13" t="n">
        <v>15</v>
      </c>
      <c r="L29" s="15" t="n">
        <v>6</v>
      </c>
    </row>
    <row r="30" customFormat="false" ht="15" hidden="false" customHeight="false" outlineLevel="0" collapsed="false">
      <c r="A30" s="6" t="n">
        <v>25</v>
      </c>
      <c r="B30" s="7" t="s">
        <v>73</v>
      </c>
      <c r="C30" s="6" t="s">
        <v>16</v>
      </c>
      <c r="D30" s="7" t="s">
        <v>74</v>
      </c>
      <c r="E30" s="21" t="s">
        <v>68</v>
      </c>
      <c r="F30" s="9" t="n">
        <v>0.0066</v>
      </c>
      <c r="G30" s="10" t="n">
        <f aca="false">F30*$F$2</f>
        <v>0.00033</v>
      </c>
      <c r="H30" s="11" t="n">
        <f aca="false">IFERROR(1/G30,"-")</f>
        <v>3030.30303030303</v>
      </c>
      <c r="I30" s="12" t="n">
        <v>120</v>
      </c>
      <c r="J30" s="6" t="n">
        <f aca="false">RANK(I30,$I$6:$I$35,1)</f>
        <v>25</v>
      </c>
      <c r="K30" s="13" t="n">
        <v>20</v>
      </c>
      <c r="L30" s="15" t="n">
        <v>4</v>
      </c>
    </row>
    <row r="31" customFormat="false" ht="15" hidden="false" customHeight="false" outlineLevel="0" collapsed="false">
      <c r="A31" s="16" t="n">
        <v>26</v>
      </c>
      <c r="B31" s="17" t="s">
        <v>75</v>
      </c>
      <c r="C31" s="16" t="s">
        <v>23</v>
      </c>
      <c r="D31" s="17" t="s">
        <v>76</v>
      </c>
      <c r="E31" s="21" t="s">
        <v>68</v>
      </c>
      <c r="F31" s="9" t="n">
        <v>0.0055</v>
      </c>
      <c r="G31" s="10" t="n">
        <f aca="false">F31*$F$2</f>
        <v>0.000275</v>
      </c>
      <c r="H31" s="11" t="n">
        <f aca="false">IFERROR(1/G31,"-")</f>
        <v>3636.36363636364</v>
      </c>
      <c r="I31" s="12" t="n">
        <v>150</v>
      </c>
      <c r="J31" s="6" t="n">
        <f aca="false">RANK(I31,$I$6:$I$35,1)</f>
        <v>26</v>
      </c>
      <c r="K31" s="13" t="n">
        <v>180</v>
      </c>
      <c r="L31" s="15" t="n">
        <v>60</v>
      </c>
    </row>
    <row r="32" customFormat="false" ht="15" hidden="false" customHeight="false" outlineLevel="0" collapsed="false">
      <c r="A32" s="6" t="n">
        <v>27</v>
      </c>
      <c r="B32" s="7" t="s">
        <v>77</v>
      </c>
      <c r="C32" s="6" t="s">
        <v>53</v>
      </c>
      <c r="D32" s="7" t="s">
        <v>78</v>
      </c>
      <c r="E32" s="21" t="s">
        <v>68</v>
      </c>
      <c r="F32" s="9" t="n">
        <v>0.0055</v>
      </c>
      <c r="G32" s="10" t="n">
        <f aca="false">F32*$F$2</f>
        <v>0.000275</v>
      </c>
      <c r="H32" s="11" t="n">
        <f aca="false">IFERROR(1/G32,"-")</f>
        <v>3636.36363636364</v>
      </c>
      <c r="I32" s="12" t="n">
        <v>160</v>
      </c>
      <c r="J32" s="6" t="n">
        <f aca="false">RANK(I32,$I$6:$I$35,1)</f>
        <v>27</v>
      </c>
      <c r="K32" s="13" t="n">
        <v>90</v>
      </c>
      <c r="L32" s="14" t="s">
        <v>79</v>
      </c>
    </row>
    <row r="33" customFormat="false" ht="15" hidden="false" customHeight="false" outlineLevel="0" collapsed="false">
      <c r="A33" s="6" t="n">
        <v>28</v>
      </c>
      <c r="B33" s="7" t="s">
        <v>80</v>
      </c>
      <c r="C33" s="6" t="s">
        <v>16</v>
      </c>
      <c r="D33" s="7" t="s">
        <v>81</v>
      </c>
      <c r="E33" s="22" t="s">
        <v>82</v>
      </c>
      <c r="F33" s="9" t="n">
        <v>0.00275</v>
      </c>
      <c r="G33" s="10" t="n">
        <f aca="false">F33*$F$2</f>
        <v>0.0001375</v>
      </c>
      <c r="H33" s="11" t="n">
        <f aca="false">IFERROR(1/G33,"-")</f>
        <v>7272.72727272727</v>
      </c>
      <c r="I33" s="12" t="n">
        <v>200</v>
      </c>
      <c r="J33" s="6" t="n">
        <f aca="false">RANK(I33,$I$6:$I$35,1)</f>
        <v>28</v>
      </c>
      <c r="K33" s="13" t="n">
        <v>45</v>
      </c>
      <c r="L33" s="15" t="n">
        <v>5</v>
      </c>
    </row>
    <row r="34" customFormat="false" ht="15" hidden="false" customHeight="false" outlineLevel="0" collapsed="false">
      <c r="A34" s="16" t="n">
        <v>29</v>
      </c>
      <c r="B34" s="17" t="s">
        <v>83</v>
      </c>
      <c r="C34" s="16" t="s">
        <v>23</v>
      </c>
      <c r="D34" s="17" t="s">
        <v>84</v>
      </c>
      <c r="E34" s="22" t="s">
        <v>82</v>
      </c>
      <c r="F34" s="9" t="n">
        <v>0.00165</v>
      </c>
      <c r="G34" s="10" t="n">
        <f aca="false">F34*$F$2</f>
        <v>8.25E-005</v>
      </c>
      <c r="H34" s="11" t="n">
        <f aca="false">IFERROR(1/G34,"-")</f>
        <v>12121.2121212121</v>
      </c>
      <c r="I34" s="12" t="n">
        <v>220</v>
      </c>
      <c r="J34" s="6" t="n">
        <f aca="false">RANK(I34,$I$6:$I$35,1)</f>
        <v>29</v>
      </c>
      <c r="K34" s="13" t="n">
        <v>120</v>
      </c>
      <c r="L34" s="15" t="n">
        <v>4</v>
      </c>
    </row>
    <row r="35" customFormat="false" ht="15" hidden="false" customHeight="false" outlineLevel="0" collapsed="false">
      <c r="A35" s="6" t="n">
        <v>30</v>
      </c>
      <c r="B35" s="7" t="s">
        <v>85</v>
      </c>
      <c r="C35" s="6" t="s">
        <v>16</v>
      </c>
      <c r="D35" s="7" t="s">
        <v>86</v>
      </c>
      <c r="E35" s="22" t="s">
        <v>82</v>
      </c>
      <c r="F35" s="9" t="n">
        <v>0.0011</v>
      </c>
      <c r="G35" s="10" t="n">
        <f aca="false">F35*$F$2</f>
        <v>5.5E-005</v>
      </c>
      <c r="H35" s="11" t="n">
        <f aca="false">IFERROR(1/G35,"-")</f>
        <v>18181.8181818182</v>
      </c>
      <c r="I35" s="12" t="n">
        <v>300</v>
      </c>
      <c r="J35" s="6" t="n">
        <f aca="false">RANK(I35,$I$6:$I$35,1)</f>
        <v>30</v>
      </c>
      <c r="K35" s="13" t="n">
        <v>300</v>
      </c>
      <c r="L35" s="14" t="s">
        <v>19</v>
      </c>
    </row>
    <row r="36" customFormat="false" ht="15" hidden="false" customHeight="false" outlineLevel="0" collapsed="false">
      <c r="A36" s="23"/>
      <c r="B36" s="24" t="s">
        <v>87</v>
      </c>
      <c r="C36" s="23"/>
      <c r="D36" s="23"/>
      <c r="E36" s="23"/>
      <c r="F36" s="25" t="n">
        <f aca="false">SUM(F6:F35)</f>
        <v>1.1</v>
      </c>
      <c r="G36" s="25" t="n">
        <f aca="false">SUM(G6:G35)</f>
        <v>0.055</v>
      </c>
      <c r="H36" s="23"/>
      <c r="I36" s="23"/>
      <c r="J36" s="23"/>
      <c r="K36" s="23"/>
      <c r="L36" s="23"/>
    </row>
    <row r="38" customFormat="false" ht="15" hidden="false" customHeight="false" outlineLevel="0" collapsed="false">
      <c r="A38" s="26" t="s">
        <v>88</v>
      </c>
    </row>
    <row r="39" customFormat="false" ht="15" hidden="false" customHeight="false" outlineLevel="0" collapsed="false">
      <c r="B39" s="5" t="s">
        <v>7</v>
      </c>
      <c r="C39" s="5" t="s">
        <v>89</v>
      </c>
      <c r="D39" s="5" t="s">
        <v>90</v>
      </c>
      <c r="E39" s="5" t="s">
        <v>9</v>
      </c>
    </row>
    <row r="40" customFormat="false" ht="15" hidden="false" customHeight="false" outlineLevel="0" collapsed="false">
      <c r="B40" s="27" t="s">
        <v>18</v>
      </c>
      <c r="C40" s="6" t="n">
        <f aca="false">COUNTIF($E$6:$E$35,B40)</f>
        <v>4</v>
      </c>
      <c r="D40" s="28" t="n">
        <f aca="false">SUMIF($E$6:$E$35,B40,$F$6:$F$35)</f>
        <v>0.495</v>
      </c>
      <c r="E40" s="29" t="n">
        <f aca="false">D40*$F$2</f>
        <v>0.02475</v>
      </c>
    </row>
    <row r="41" customFormat="false" ht="15" hidden="false" customHeight="false" outlineLevel="0" collapsed="false">
      <c r="B41" s="30" t="s">
        <v>29</v>
      </c>
      <c r="C41" s="6" t="n">
        <f aca="false">COUNTIF($E$6:$E$35,B41)</f>
        <v>5</v>
      </c>
      <c r="D41" s="28" t="n">
        <f aca="false">SUMIF($E$6:$E$35,B41,$F$6:$F$35)</f>
        <v>0.297</v>
      </c>
      <c r="E41" s="29" t="n">
        <f aca="false">D41*$F$2</f>
        <v>0.01485</v>
      </c>
    </row>
    <row r="42" customFormat="false" ht="15" hidden="false" customHeight="false" outlineLevel="0" collapsed="false">
      <c r="B42" s="31" t="s">
        <v>40</v>
      </c>
      <c r="C42" s="6" t="n">
        <f aca="false">COUNTIF($E$6:$E$35,B42)</f>
        <v>6</v>
      </c>
      <c r="D42" s="28" t="n">
        <f aca="false">SUMIF($E$6:$E$35,B42,$F$6:$F$35)</f>
        <v>0.176</v>
      </c>
      <c r="E42" s="29" t="n">
        <f aca="false">D42*$F$2</f>
        <v>0.0088</v>
      </c>
    </row>
    <row r="43" customFormat="false" ht="15" hidden="false" customHeight="false" outlineLevel="0" collapsed="false">
      <c r="B43" s="32" t="s">
        <v>55</v>
      </c>
      <c r="C43" s="6" t="n">
        <f aca="false">COUNTIF($E$6:$E$35,B43)</f>
        <v>6</v>
      </c>
      <c r="D43" s="28" t="n">
        <f aca="false">SUMIF($E$6:$E$35,B43,$F$6:$F$35)</f>
        <v>0.088</v>
      </c>
      <c r="E43" s="29" t="n">
        <f aca="false">D43*$F$2</f>
        <v>0.0044</v>
      </c>
    </row>
    <row r="44" customFormat="false" ht="15" hidden="false" customHeight="false" outlineLevel="0" collapsed="false">
      <c r="B44" s="33" t="s">
        <v>68</v>
      </c>
      <c r="C44" s="6" t="n">
        <f aca="false">COUNTIF($E$6:$E$35,B44)</f>
        <v>6</v>
      </c>
      <c r="D44" s="28" t="n">
        <f aca="false">SUMIF($E$6:$E$35,B44,$F$6:$F$35)</f>
        <v>0.0385</v>
      </c>
      <c r="E44" s="29" t="n">
        <f aca="false">D44*$F$2</f>
        <v>0.001925</v>
      </c>
    </row>
    <row r="45" customFormat="false" ht="15" hidden="false" customHeight="false" outlineLevel="0" collapsed="false">
      <c r="B45" s="34" t="s">
        <v>82</v>
      </c>
      <c r="C45" s="6" t="n">
        <f aca="false">COUNTIF($E$6:$E$35,B45)</f>
        <v>3</v>
      </c>
      <c r="D45" s="28" t="n">
        <f aca="false">SUMIF($E$6:$E$35,B45,$F$6:$F$35)</f>
        <v>0.0055</v>
      </c>
      <c r="E45" s="29" t="n">
        <f aca="false">D45*$F$2</f>
        <v>0.000275</v>
      </c>
    </row>
    <row r="46" customFormat="false" ht="15" hidden="false" customHeight="false" outlineLevel="0" collapsed="false">
      <c r="B46" s="24" t="s">
        <v>87</v>
      </c>
      <c r="C46" s="35" t="n">
        <f aca="false">SUM(C40:C45)</f>
        <v>30</v>
      </c>
      <c r="D46" s="25" t="n">
        <f aca="false">SUM(D40:D45)</f>
        <v>1.1</v>
      </c>
      <c r="E46" s="23"/>
    </row>
    <row r="48" customFormat="false" ht="15" hidden="false" customHeight="false" outlineLevel="0" collapsed="false">
      <c r="A48" s="26" t="s">
        <v>91</v>
      </c>
    </row>
    <row r="49" customFormat="false" ht="15" hidden="false" customHeight="false" outlineLevel="0" collapsed="false">
      <c r="B49" s="5" t="s">
        <v>5</v>
      </c>
      <c r="C49" s="5" t="s">
        <v>89</v>
      </c>
      <c r="D49" s="5" t="s">
        <v>90</v>
      </c>
      <c r="E49" s="5" t="s">
        <v>9</v>
      </c>
    </row>
    <row r="50" customFormat="false" ht="15" hidden="false" customHeight="false" outlineLevel="0" collapsed="false">
      <c r="B50" s="7" t="s">
        <v>16</v>
      </c>
      <c r="C50" s="6" t="n">
        <f aca="false">COUNTIF($C$6:$C$35,B50)</f>
        <v>17</v>
      </c>
      <c r="D50" s="28" t="n">
        <f aca="false">SUMIF($C$6:$C$35,B50,$F$6:$F$35)</f>
        <v>0.7084</v>
      </c>
      <c r="E50" s="29" t="n">
        <f aca="false">D50*$F$2</f>
        <v>0.03542</v>
      </c>
    </row>
    <row r="51" customFormat="false" ht="15" hidden="false" customHeight="false" outlineLevel="0" collapsed="false">
      <c r="B51" s="17" t="s">
        <v>23</v>
      </c>
      <c r="C51" s="6" t="n">
        <f aca="false">COUNTIF($C$6:$C$35,B51)</f>
        <v>10</v>
      </c>
      <c r="D51" s="28" t="n">
        <f aca="false">SUMIF($C$6:$C$35,B51,$F$6:$F$35)</f>
        <v>0.341</v>
      </c>
      <c r="E51" s="29" t="n">
        <f aca="false">D51*$F$2</f>
        <v>0.01705</v>
      </c>
    </row>
    <row r="52" customFormat="false" ht="15" hidden="false" customHeight="false" outlineLevel="0" collapsed="false">
      <c r="B52" s="7" t="s">
        <v>48</v>
      </c>
      <c r="C52" s="6" t="n">
        <f aca="false">COUNTIF($C$6:$C$35,B52)</f>
        <v>1</v>
      </c>
      <c r="D52" s="28" t="n">
        <f aca="false">SUMIF($C$6:$C$35,B52,$F$6:$F$35)</f>
        <v>0.0275</v>
      </c>
      <c r="E52" s="29" t="n">
        <f aca="false">D52*$F$2</f>
        <v>0.001375</v>
      </c>
    </row>
    <row r="53" customFormat="false" ht="15" hidden="false" customHeight="false" outlineLevel="0" collapsed="false">
      <c r="B53" s="7" t="s">
        <v>53</v>
      </c>
      <c r="C53" s="6" t="n">
        <f aca="false">COUNTIF($C$6:$C$35,B53)</f>
        <v>2</v>
      </c>
      <c r="D53" s="28" t="n">
        <f aca="false">SUMIF($C$6:$C$35,B53,$F$6:$F$35)</f>
        <v>0.0231</v>
      </c>
      <c r="E53" s="29" t="n">
        <f aca="false">D53*$F$2</f>
        <v>0.001155</v>
      </c>
    </row>
    <row r="54" customFormat="false" ht="15" hidden="false" customHeight="false" outlineLevel="0" collapsed="false">
      <c r="B54" s="24" t="s">
        <v>87</v>
      </c>
      <c r="C54" s="35" t="n">
        <f aca="false">SUM(C50:C53)</f>
        <v>30</v>
      </c>
      <c r="D54" s="25" t="n">
        <f aca="false">SUM(D50:D53)</f>
        <v>1.1</v>
      </c>
      <c r="E54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2026-10-24T06:31:01Z</dcterms:created>
  <dc:creator>openpyxl</dc:creator>
  <dc:description/>
  <dc:language>en-US</dc:language>
  <cp:lastModifiedBy/>
  <dcterms:modified xsi:type="dcterms:W3CDTF">2026-10-24T06:31:01Z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